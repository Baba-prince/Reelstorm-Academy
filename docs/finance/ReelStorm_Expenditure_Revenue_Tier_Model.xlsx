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ssumptions" sheetId="2" state="visible" r:id="rId2"/>
    <sheet name="API Subscriptions" sheetId="3" state="visible" r:id="rId3"/>
    <sheet name="Tier P&amp;L" sheetId="4" state="visible" r:id="rId4"/>
    <sheet name="RTC Packs" sheetId="5" state="visible" r:id="rId5"/>
    <sheet name="Portfolio Sce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0.0%"/>
    <numFmt numFmtId="166" formatCode="0.0"/>
  </numFmts>
  <fonts count="15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color rgb="00555555"/>
      <sz val="9"/>
    </font>
    <font>
      <name val="Arial"/>
      <color rgb="00000000"/>
      <sz val="11"/>
    </font>
    <font>
      <name val="Arial"/>
      <b val="1"/>
      <sz val="11"/>
    </font>
    <font>
      <name val="Arial"/>
      <sz val="10"/>
    </font>
    <font>
      <name val="Arial"/>
      <color rgb="00008000"/>
      <sz val="11"/>
    </font>
    <font>
      <name val="Arial"/>
      <i val="1"/>
      <sz val="10"/>
    </font>
    <font>
      <name val="Arial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E8E8F0"/>
      </patternFill>
    </fill>
    <fill>
      <patternFill patternType="solid">
        <fgColor rgb="001A1A2E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14" fillId="0" borderId="0" pivotButton="0" quotePrefix="0" xfId="0"/>
    <xf numFmtId="0" fontId="4" fillId="2" borderId="0" pivotButton="0" quotePrefix="0" xfId="0"/>
    <xf numFmtId="164" fontId="12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1" pivotButton="0" quotePrefix="0" xfId="0"/>
    <xf numFmtId="0" fontId="6" fillId="0" borderId="0" pivotButton="0" quotePrefix="0" xfId="0"/>
    <xf numFmtId="164" fontId="10" fillId="4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7" fillId="4" borderId="0" pivotButton="0" quotePrefix="0" xfId="0"/>
    <xf numFmtId="0" fontId="8" fillId="0" borderId="0" pivotButton="0" quotePrefix="0" xfId="0"/>
    <xf numFmtId="4" fontId="7" fillId="4" borderId="0" pivotButton="0" quotePrefix="0" xfId="0"/>
    <xf numFmtId="165" fontId="7" fillId="4" borderId="0" pivotButton="0" quotePrefix="0" xfId="0"/>
    <xf numFmtId="164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7" fillId="4" borderId="1" pivotButton="0" quotePrefix="0" xfId="0"/>
    <xf numFmtId="0" fontId="0" fillId="0" borderId="1" pivotButton="0" quotePrefix="0" xfId="0"/>
    <xf numFmtId="164" fontId="7" fillId="0" borderId="1" pivotButton="0" quotePrefix="0" xfId="0"/>
    <xf numFmtId="0" fontId="7" fillId="0" borderId="1" pivotButton="0" quotePrefix="0" xfId="0"/>
    <xf numFmtId="165" fontId="7" fillId="0" borderId="1" pivotButton="0" quotePrefix="0" xfId="0"/>
    <xf numFmtId="2" fontId="0" fillId="0" borderId="1" pivotButton="0" quotePrefix="0" xfId="0"/>
    <xf numFmtId="164" fontId="9" fillId="0" borderId="1" pivotButton="0" quotePrefix="0" xfId="0"/>
    <xf numFmtId="49" fontId="9" fillId="0" borderId="1" pivotButton="0" quotePrefix="0" xfId="0"/>
    <xf numFmtId="165" fontId="12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13" fillId="0" borderId="0" pivotButton="0" quotePrefix="0" xfId="0"/>
    <xf numFmtId="0" fontId="7" fillId="4" borderId="1" pivotButton="0" quotePrefix="0" xfId="0"/>
    <xf numFmtId="164" fontId="12" fillId="0" borderId="1" pivotButton="0" quotePrefix="0" xfId="0"/>
    <xf numFmtId="0" fontId="8" fillId="0" borderId="1" pivotButton="0" quotePrefix="0" xfId="0"/>
    <xf numFmtId="164" fontId="10" fillId="0" borderId="0" pivotButton="0" quotePrefix="0" xfId="0"/>
    <xf numFmtId="0" fontId="7" fillId="4" borderId="0" pivotButton="0" quotePrefix="0" xfId="0"/>
    <xf numFmtId="164" fontId="7" fillId="0" borderId="0" pivotButton="0" quotePrefix="0" xfId="0"/>
    <xf numFmtId="166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MRR by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Scenario'!C4</f>
            </strRef>
          </tx>
          <spPr>
            <a:ln>
              <a:prstDash val="solid"/>
            </a:ln>
          </spPr>
          <cat>
            <numRef>
              <f>'Portfolio Scenario'!$A$5:$A$8</f>
            </numRef>
          </cat>
          <val>
            <numRef>
              <f>'Portfolio Scenario'!$C$5:$C$8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0" customWidth="1" min="4" max="4"/>
    <col width="12" customWidth="1" min="5" max="5"/>
    <col width="28" customWidth="1" min="6" max="6"/>
  </cols>
  <sheetData>
    <row r="1">
      <c r="A1" s="1" t="inlineStr">
        <is>
          <t>REELSTORM EXPENDITURE &amp; REVENUE ARTIFACT</t>
        </is>
      </c>
    </row>
    <row r="2">
      <c r="A2" s="2" t="inlineStr">
        <is>
          <t>Captain tier system · Soft-launch ready · Generated for ReelStorm Academy OS</t>
        </is>
      </c>
    </row>
    <row r="4">
      <c r="A4" s="3" t="inlineStr">
        <is>
          <t>UNIT RULES</t>
        </is>
      </c>
    </row>
    <row r="5">
      <c r="A5" t="inlineStr">
        <is>
          <t>1 RTC = 1 minute finished master @ 720p</t>
        </is>
      </c>
    </row>
    <row r="6">
      <c r="A6" t="inlineStr">
        <is>
          <t>1 SET = 5-min ARCHIVE5 = 5 RTC</t>
        </is>
      </c>
    </row>
    <row r="7">
      <c r="A7" t="inlineStr">
        <is>
          <t>Cost / set 720p (Cost Saver)</t>
        </is>
      </c>
      <c r="B7" s="4">
        <f>Assumptions!B30</f>
        <v/>
      </c>
    </row>
    <row r="8">
      <c r="A8" t="inlineStr">
        <is>
          <t>Cost / RTC 720p</t>
        </is>
      </c>
      <c r="B8" s="4">
        <f>Assumptions!B31</f>
        <v/>
      </c>
    </row>
    <row r="9">
      <c r="A9" t="inlineStr">
        <is>
          <t>Cost / set 1080p</t>
        </is>
      </c>
      <c r="B9" s="4">
        <f>Assumptions!B32</f>
        <v/>
      </c>
    </row>
    <row r="11">
      <c r="A11" s="3" t="inlineStr">
        <is>
          <t>LAUNCH TIERS</t>
        </is>
      </c>
    </row>
    <row r="12">
      <c r="A12" s="5" t="inlineStr">
        <is>
          <t>Tier</t>
        </is>
      </c>
      <c r="B12" s="5" t="inlineStr">
        <is>
          <t>Price</t>
        </is>
      </c>
      <c r="C12" s="5" t="inlineStr">
        <is>
          <t>Sets</t>
        </is>
      </c>
      <c r="D12" s="5" t="inlineStr">
        <is>
          <t>RTC</t>
        </is>
      </c>
      <c r="E12" s="5" t="inlineStr">
        <is>
          <t>Res</t>
        </is>
      </c>
      <c r="F12" s="5" t="inlineStr">
        <is>
          <t>Role</t>
        </is>
      </c>
    </row>
    <row r="13">
      <c r="A13" s="6" t="inlineStr">
        <is>
          <t>Free Test</t>
        </is>
      </c>
      <c r="B13" s="6" t="inlineStr">
        <is>
          <t>$0</t>
        </is>
      </c>
      <c r="C13" s="6" t="inlineStr">
        <is>
          <t>—</t>
        </is>
      </c>
      <c r="D13" s="6" t="inlineStr">
        <is>
          <t>1</t>
        </is>
      </c>
      <c r="E13" s="6" t="inlineStr">
        <is>
          <t>480p</t>
        </is>
      </c>
      <c r="F13" s="6" t="inlineStr">
        <is>
          <t>Hook · no download</t>
        </is>
      </c>
    </row>
    <row r="14">
      <c r="A14" s="6" t="inlineStr">
        <is>
          <t>Basic</t>
        </is>
      </c>
      <c r="B14" s="6" t="inlineStr">
        <is>
          <t>$49/mo</t>
        </is>
      </c>
      <c r="C14" s="6" t="inlineStr">
        <is>
          <t>3</t>
        </is>
      </c>
      <c r="D14" s="6" t="inlineStr">
        <is>
          <t>15</t>
        </is>
      </c>
      <c r="E14" s="6" t="inlineStr">
        <is>
          <t>720p only</t>
        </is>
      </c>
      <c r="F14" s="6" t="inlineStr">
        <is>
          <t>Margin lock</t>
        </is>
      </c>
    </row>
    <row r="15">
      <c r="A15" s="6" t="inlineStr">
        <is>
          <t>Premium ★</t>
        </is>
      </c>
      <c r="B15" s="6" t="inlineStr">
        <is>
          <t>$99/mo</t>
        </is>
      </c>
      <c r="C15" s="6" t="inlineStr">
        <is>
          <t>5</t>
        </is>
      </c>
      <c r="D15" s="6" t="inlineStr">
        <is>
          <t>25</t>
        </is>
      </c>
      <c r="E15" s="6" t="inlineStr">
        <is>
          <t>1080p</t>
        </is>
      </c>
      <c r="F15" s="6" t="inlineStr">
        <is>
          <t>YouTuber hero</t>
        </is>
      </c>
    </row>
    <row r="16">
      <c r="A16" s="6" t="inlineStr">
        <is>
          <t>Premium Pro</t>
        </is>
      </c>
      <c r="B16" s="6" t="inlineStr">
        <is>
          <t>$199/mo</t>
        </is>
      </c>
      <c r="C16" s="6" t="inlineStr">
        <is>
          <t>10</t>
        </is>
      </c>
      <c r="D16" s="6" t="inlineStr">
        <is>
          <t>50</t>
        </is>
      </c>
      <c r="E16" s="6" t="inlineStr">
        <is>
          <t>1080p+</t>
        </is>
      </c>
      <c r="F16" s="6" t="inlineStr">
        <is>
          <t>DNA · team · rollover</t>
        </is>
      </c>
    </row>
    <row r="17">
      <c r="A17" s="6" t="inlineStr">
        <is>
          <t>Network</t>
        </is>
      </c>
      <c r="B17" s="6" t="inlineStr">
        <is>
          <t>Custom</t>
        </is>
      </c>
      <c r="C17" s="6" t="inlineStr">
        <is>
          <t>negotiated</t>
        </is>
      </c>
      <c r="D17" s="6" t="inlineStr">
        <is>
          <t>pool</t>
        </is>
      </c>
      <c r="E17" s="6" t="inlineStr">
        <is>
          <t>1080p</t>
        </is>
      </c>
      <c r="F17" s="6" t="inlineStr">
        <is>
          <t>White-label B2B</t>
        </is>
      </c>
    </row>
    <row r="19">
      <c r="A19" s="3" t="inlineStr">
        <is>
          <t>MUST-PAY APIs (see API Subscriptions sheet)</t>
        </is>
      </c>
    </row>
    <row r="20">
      <c r="A20" s="7" t="inlineStr">
        <is>
          <t>1. DashScope Qwen — LLM</t>
        </is>
      </c>
    </row>
    <row r="21">
      <c r="A21" s="7" t="inlineStr">
        <is>
          <t>2. Seedance (via DashScope) — video clips (largest COGS)</t>
        </is>
      </c>
    </row>
    <row r="22">
      <c r="A22" s="7" t="inlineStr">
        <is>
          <t>3. Supabase Pro — Auth + DB</t>
        </is>
      </c>
    </row>
    <row r="23">
      <c r="A23" s="7" t="inlineStr">
        <is>
          <t>4. Stripe — billing</t>
        </is>
      </c>
    </row>
    <row r="24">
      <c r="A24" s="7" t="inlineStr">
        <is>
          <t>5. Cloudflare R2 — media storage</t>
        </is>
      </c>
    </row>
    <row r="25">
      <c r="A25" s="7" t="inlineStr">
        <is>
          <t>6. IONOS VPS — compute / workers / Ollama</t>
        </is>
      </c>
    </row>
    <row r="26">
      <c r="A26" s="7" t="inlineStr">
        <is>
          <t>Optional: ElevenLabs, Kling, Veo</t>
        </is>
      </c>
    </row>
    <row r="28">
      <c r="A28" s="3" t="inlineStr">
        <is>
          <t>PORTFOLIO SNAPSHOT (edit counts on Portfolio Scenario)</t>
        </is>
      </c>
    </row>
    <row r="29">
      <c r="A29" t="inlineStr">
        <is>
          <t>Subscription MRR</t>
        </is>
      </c>
      <c r="B29" s="4">
        <f>'Portfolio Scenario'!C10</f>
        <v/>
      </c>
    </row>
    <row r="30">
      <c r="A30" t="inlineStr">
        <is>
          <t>Subscription COGS</t>
        </is>
      </c>
      <c r="B30" s="4">
        <f>'Portfolio Scenario'!D10</f>
        <v/>
      </c>
    </row>
    <row r="31">
      <c r="A31" t="inlineStr">
        <is>
          <t>Gross profit (subs)</t>
        </is>
      </c>
      <c r="B31" s="4">
        <f>'Portfolio Scenario'!E10</f>
        <v/>
      </c>
    </row>
    <row r="32">
      <c r="A32" t="inlineStr">
        <is>
          <t>Fixed platform opex</t>
        </is>
      </c>
      <c r="B32" s="4">
        <f>'API Subscriptions'!E20</f>
        <v/>
      </c>
    </row>
    <row r="33">
      <c r="A33" t="inlineStr">
        <is>
          <t>Net monthly (incl packs − opex)</t>
        </is>
      </c>
      <c r="B33" s="8">
        <f>'Portfolio Scenario'!D17</f>
        <v/>
      </c>
    </row>
    <row r="35">
      <c r="A35" s="9" t="inlineStr">
        <is>
          <t>CAPTAIN GUARDRAILS</t>
        </is>
      </c>
    </row>
    <row r="36">
      <c r="A36" t="inlineStr">
        <is>
          <t>• Lock Basic to 720p forever — prevents margin bleed</t>
        </is>
      </c>
    </row>
    <row r="37">
      <c r="A37" t="inlineStr">
        <is>
          <t>• Free = no download; watermark; 24h expiry</t>
        </is>
      </c>
    </row>
    <row r="38">
      <c r="A38" t="inlineStr">
        <is>
          <t>• Prefer Cost Saver (5s clips) in BOT Wizard — halves Seedance spend</t>
        </is>
      </c>
    </row>
    <row r="39">
      <c r="A39" t="inlineStr">
        <is>
          <t>• Soft-cap Premium 1080p if full-use stress shows BLEED</t>
        </is>
      </c>
    </row>
    <row r="40">
      <c r="A40" t="inlineStr">
        <is>
          <t>• Overage packs are the viral-month profit 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55" customWidth="1" min="4" max="4"/>
  </cols>
  <sheetData>
    <row r="1">
      <c r="A1" s="1" t="inlineStr">
        <is>
          <t>REELSTORM — Expenditure &amp; Revenue Model</t>
        </is>
      </c>
    </row>
    <row r="2">
      <c r="A2" s="10" t="inlineStr">
        <is>
          <t>Based on Captain tier system · 1 RTC = 1 min master (720p) · 1 set = 5 RTC</t>
        </is>
      </c>
    </row>
    <row r="3">
      <c r="A3" s="11" t="inlineStr">
        <is>
          <t>Blue cells = editable inputs · Black = formulas · Yellow = key levers · Source: Captain cost model (session)</t>
        </is>
      </c>
    </row>
    <row r="5">
      <c r="A5" s="3" t="inlineStr">
        <is>
          <t>UNIT ECONOMICS LEVERS</t>
        </is>
      </c>
    </row>
    <row r="6">
      <c r="A6" s="5" t="inlineStr">
        <is>
          <t>Key</t>
        </is>
      </c>
      <c r="B6" s="5" t="inlineStr">
        <is>
          <t>Value</t>
        </is>
      </c>
      <c r="C6" s="5" t="inlineStr">
        <is>
          <t>Unit</t>
        </is>
      </c>
      <c r="D6" s="5" t="inlineStr">
        <is>
          <t>Notes</t>
        </is>
      </c>
    </row>
    <row r="7">
      <c r="A7" s="7" t="inlineStr">
        <is>
          <t>cost_per_clip_720</t>
        </is>
      </c>
      <c r="B7" s="12" t="n">
        <v>0.3</v>
      </c>
      <c r="C7" s="7" t="inlineStr">
        <is>
          <t>USD</t>
        </is>
      </c>
      <c r="D7" s="13" t="inlineStr">
        <is>
          <t>Seedance/Kling ~5s clip @ 720p — Source: Captain model</t>
        </is>
      </c>
    </row>
    <row r="8">
      <c r="A8" s="7" t="inlineStr">
        <is>
          <t>clips_per_5min_set_saver</t>
        </is>
      </c>
      <c r="B8" s="14" t="n">
        <v>30</v>
      </c>
      <c r="C8" s="7" t="inlineStr">
        <is>
          <t>clips</t>
        </is>
      </c>
      <c r="D8" s="13" t="inlineStr">
        <is>
          <t>Cost Saver path: 5s clips</t>
        </is>
      </c>
    </row>
    <row r="9">
      <c r="A9" s="7" t="inlineStr">
        <is>
          <t>clips_per_5min_set_cinema</t>
        </is>
      </c>
      <c r="B9" s="14" t="n">
        <v>15</v>
      </c>
      <c r="C9" s="7" t="inlineStr">
        <is>
          <t>clips</t>
        </is>
      </c>
      <c r="D9" s="13" t="inlineStr">
        <is>
          <t>Cinematic path: 10s clips (half count)</t>
        </is>
      </c>
    </row>
    <row r="10">
      <c r="A10" s="7" t="inlineStr">
        <is>
          <t>cost_script_llm</t>
        </is>
      </c>
      <c r="B10" s="12" t="n">
        <v>0.02</v>
      </c>
      <c r="C10" s="7" t="inlineStr">
        <is>
          <t>USD</t>
        </is>
      </c>
      <c r="D10" s="13" t="inlineStr">
        <is>
          <t>DashScope Qwen loglines</t>
        </is>
      </c>
    </row>
    <row r="11">
      <c r="A11" s="7" t="inlineStr">
        <is>
          <t>cost_world_bible</t>
        </is>
      </c>
      <c r="B11" s="12" t="n">
        <v>0.4</v>
      </c>
      <c r="C11" s="7" t="inlineStr">
        <is>
          <t>USD</t>
        </is>
      </c>
      <c r="D11" s="13" t="inlineStr">
        <is>
          <t>DashScope + vision plates</t>
        </is>
      </c>
    </row>
    <row r="12">
      <c r="A12" s="7" t="inlineStr">
        <is>
          <t>cost_first_frames</t>
        </is>
      </c>
      <c r="B12" s="12" t="n">
        <v>0.12</v>
      </c>
      <c r="C12" s="7" t="inlineStr">
        <is>
          <t>USD</t>
        </is>
      </c>
      <c r="D12" s="13" t="inlineStr">
        <is>
          <t>DashScope image × 6</t>
        </is>
      </c>
    </row>
    <row r="13">
      <c r="A13" s="7" t="inlineStr">
        <is>
          <t>cost_voice_5min</t>
        </is>
      </c>
      <c r="B13" s="12" t="n">
        <v>0.8100000000000001</v>
      </c>
      <c r="C13" s="7" t="inlineStr">
        <is>
          <t>USD</t>
        </is>
      </c>
      <c r="D13" s="13" t="inlineStr">
        <is>
          <t>ElevenLabs optional VO ~750 words</t>
        </is>
      </c>
    </row>
    <row r="14">
      <c r="A14" s="7" t="inlineStr">
        <is>
          <t>cost_sfx</t>
        </is>
      </c>
      <c r="B14" s="12" t="n">
        <v>0.3</v>
      </c>
      <c r="C14" s="7" t="inlineStr">
        <is>
          <t>USD</t>
        </is>
      </c>
      <c r="D14" s="13" t="inlineStr">
        <is>
          <t>SFX / score bed</t>
        </is>
      </c>
    </row>
    <row r="15">
      <c r="A15" s="7" t="inlineStr">
        <is>
          <t>cost_merge_r2</t>
        </is>
      </c>
      <c r="B15" s="12" t="n">
        <v>0.15</v>
      </c>
      <c r="C15" s="7" t="inlineStr">
        <is>
          <t>USD</t>
        </is>
      </c>
      <c r="D15" s="13" t="inlineStr">
        <is>
          <t>ffmpeg + R2 storage</t>
        </is>
      </c>
    </row>
    <row r="16">
      <c r="A16" s="7" t="inlineStr">
        <is>
          <t>cost_worker</t>
        </is>
      </c>
      <c r="B16" s="12" t="n">
        <v>0.2</v>
      </c>
      <c r="C16" s="7" t="inlineStr">
        <is>
          <t>USD</t>
        </is>
      </c>
      <c r="D16" s="13" t="inlineStr">
        <is>
          <t>VPS BullMQ share</t>
        </is>
      </c>
    </row>
    <row r="17">
      <c r="A17" s="7" t="inlineStr">
        <is>
          <t>rtc_per_set</t>
        </is>
      </c>
      <c r="B17" s="14" t="n">
        <v>5</v>
      </c>
      <c r="C17" s="7" t="inlineStr">
        <is>
          <t>RTC</t>
        </is>
      </c>
      <c r="D17" s="13" t="inlineStr">
        <is>
          <t>1 set = 5 min = 5 RTC</t>
        </is>
      </c>
    </row>
    <row r="18">
      <c r="A18" s="7" t="inlineStr">
        <is>
          <t>sell_per_rtc_implied</t>
        </is>
      </c>
      <c r="B18" s="12" t="n">
        <v>7.99</v>
      </c>
      <c r="C18" s="7" t="inlineStr">
        <is>
          <t>USD</t>
        </is>
      </c>
      <c r="D18" s="13" t="inlineStr">
        <is>
          <t>Standalone RTC list (packs discount)</t>
        </is>
      </c>
    </row>
    <row r="19">
      <c r="A19" s="7" t="inlineStr">
        <is>
          <t>cost_mult_1080</t>
        </is>
      </c>
      <c r="B19" s="12" t="n">
        <v>2</v>
      </c>
      <c r="C19" s="7" t="inlineStr">
        <is>
          <t>x</t>
        </is>
      </c>
      <c r="D19" s="13" t="inlineStr">
        <is>
          <t>1080p ≈ 2× video gen cost</t>
        </is>
      </c>
    </row>
    <row r="20">
      <c r="A20" s="7" t="inlineStr">
        <is>
          <t>avg_use_basic</t>
        </is>
      </c>
      <c r="B20" s="15" t="n">
        <v>1</v>
      </c>
      <c r="C20" s="7" t="inlineStr">
        <is>
          <t>fraction</t>
        </is>
      </c>
      <c r="D20" s="13" t="inlineStr">
        <is>
          <t>Share of monthly RTC used (Basic)</t>
        </is>
      </c>
    </row>
    <row r="21">
      <c r="A21" s="7" t="inlineStr">
        <is>
          <t>avg_use_premium</t>
        </is>
      </c>
      <c r="B21" s="15" t="n">
        <v>0.7</v>
      </c>
      <c r="C21" s="7" t="inlineStr">
        <is>
          <t>fraction</t>
        </is>
      </c>
      <c r="D21" s="13" t="inlineStr">
        <is>
          <t>YouTubers avg 15–18 of 25 RTC</t>
        </is>
      </c>
    </row>
    <row r="22">
      <c r="A22" s="7" t="inlineStr">
        <is>
          <t>avg_use_pro</t>
        </is>
      </c>
      <c r="B22" s="15" t="n">
        <v>0.65</v>
      </c>
      <c r="C22" s="7" t="inlineStr">
        <is>
          <t>fraction</t>
        </is>
      </c>
      <c r="D22" s="13" t="inlineStr">
        <is>
          <t>Pro avg utilization</t>
        </is>
      </c>
    </row>
    <row r="23">
      <c r="A23" s="7" t="inlineStr">
        <is>
          <t>free_to_basic_cvr</t>
        </is>
      </c>
      <c r="B23" s="15" t="n">
        <v>0.1</v>
      </c>
      <c r="C23" s="7" t="inlineStr">
        <is>
          <t>fraction</t>
        </is>
      </c>
      <c r="D23" s="13" t="inlineStr">
        <is>
          <t>1 in 10 Free → Basic</t>
        </is>
      </c>
    </row>
    <row r="24">
      <c r="A24" s="7" t="inlineStr">
        <is>
          <t>mix_premium_1080</t>
        </is>
      </c>
      <c r="B24" s="15" t="n">
        <v>0.5</v>
      </c>
      <c r="C24" s="7" t="inlineStr">
        <is>
          <t>fraction</t>
        </is>
      </c>
      <c r="D24" s="13" t="inlineStr">
        <is>
          <t>Share of Premium minutes rendered 1080p</t>
        </is>
      </c>
    </row>
    <row r="27">
      <c r="A27" s="3" t="inlineStr">
        <is>
          <t>DERIVED COST PER 5-MIN SET (720p Cost Saver)</t>
        </is>
      </c>
    </row>
    <row r="28">
      <c r="A28" t="inlineStr">
        <is>
          <t>Video gen</t>
        </is>
      </c>
      <c r="B28" s="16">
        <f>B7*B8</f>
        <v/>
      </c>
    </row>
    <row r="29">
      <c r="A29" t="inlineStr">
        <is>
          <t>Non-video stack</t>
        </is>
      </c>
      <c r="B29" s="16">
        <f>B10+B11+B12+B13+B14+B15+B16</f>
        <v/>
      </c>
    </row>
    <row r="30">
      <c r="A30" t="inlineStr">
        <is>
          <t>TOTAL cost / set 720p</t>
        </is>
      </c>
      <c r="B30" s="8">
        <f>B28+B29</f>
        <v/>
      </c>
    </row>
    <row r="31">
      <c r="A31" t="inlineStr">
        <is>
          <t>Cost / RTC 720p</t>
        </is>
      </c>
      <c r="B31" s="16">
        <f>B30/B17</f>
        <v/>
      </c>
    </row>
    <row r="32">
      <c r="A32" t="inlineStr">
        <is>
          <t>TOTAL cost / set 1080p</t>
        </is>
      </c>
      <c r="B32" s="16">
        <f>B29+(B28*B19)</f>
        <v/>
      </c>
    </row>
    <row r="33">
      <c r="A33" t="inlineStr">
        <is>
          <t>Cost / RTC 1080p</t>
        </is>
      </c>
      <c r="B33" s="16">
        <f>B32/B17</f>
        <v/>
      </c>
    </row>
    <row r="34">
      <c r="A34" t="inlineStr">
        <is>
          <t>Cinematic clip path cost (720p)</t>
        </is>
      </c>
      <c r="B34" s="16">
        <f>(B7*B9)+B29</f>
        <v/>
      </c>
      <c r="C34" s="13" t="inlineStr">
        <is>
          <t>Half the clips → ~half video spend</t>
        </is>
      </c>
    </row>
    <row r="36">
      <c r="A36" s="17" t="inlineStr">
        <is>
          <t>EDIT GUIDE</t>
        </is>
      </c>
    </row>
    <row r="37">
      <c r="A37" s="18" t="inlineStr">
        <is>
          <t>Change yellow/blue inputs only. All other sheets pull from Assumptions!B7:B24 and B30:B33.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2" customWidth="1" min="3" max="3"/>
    <col width="18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1">
      <c r="A1" s="1" t="inlineStr">
        <is>
          <t>API &amp; PLATFORM SUBSCRIPTIONS (Expenditure)</t>
        </is>
      </c>
    </row>
    <row r="2">
      <c r="A2" s="10" t="inlineStr">
        <is>
          <t>What ReelStorm pays vendors monthly (fixed) + usage-variable notes. Blue = editable fixed fees.</t>
        </is>
      </c>
    </row>
    <row r="4">
      <c r="A4" s="5" t="inlineStr">
        <is>
          <t>Service</t>
        </is>
      </c>
      <c r="B4" s="5" t="inlineStr">
        <is>
          <t>Role in factory</t>
        </is>
      </c>
      <c r="C4" s="5" t="inlineStr">
        <is>
          <t>Env / plan</t>
        </is>
      </c>
      <c r="D4" s="5" t="inlineStr">
        <is>
          <t>Billing model</t>
        </is>
      </c>
      <c r="E4" s="5" t="inlineStr">
        <is>
          <t>Est. fixed $/mo</t>
        </is>
      </c>
      <c r="F4" s="5" t="inlineStr">
        <is>
          <t>Variable driver</t>
        </is>
      </c>
      <c r="G4" s="5" t="inlineStr">
        <is>
          <t>Required?</t>
        </is>
      </c>
      <c r="H4" s="5" t="inlineStr">
        <is>
          <t>Notes</t>
        </is>
      </c>
    </row>
    <row r="5">
      <c r="A5" s="6" t="inlineStr">
        <is>
          <t>Alibaba DashScope (Qwen)</t>
        </is>
      </c>
      <c r="B5" s="6" t="inlineStr">
        <is>
          <t>LLM orchestration · loglines · world bible · first frames</t>
        </is>
      </c>
      <c r="C5" s="6" t="inlineStr">
        <is>
          <t>DASHSCOPE_API_KEY · Qwen-Plus</t>
        </is>
      </c>
      <c r="D5" s="6" t="inlineStr">
        <is>
          <t>Pay-as-you-go tokens</t>
        </is>
      </c>
      <c r="E5" s="19" t="n">
        <v>0</v>
      </c>
      <c r="F5" s="6" t="inlineStr">
        <is>
          <t>Tokens / images</t>
        </is>
      </c>
      <c r="G5" s="6" t="inlineStr">
        <is>
          <t>Yes (or Ollama)</t>
        </is>
      </c>
      <c r="H5" s="6" t="inlineStr">
        <is>
          <t>Soft launch can use local Ollama</t>
        </is>
      </c>
    </row>
    <row r="6">
      <c r="A6" s="6" t="inlineStr">
        <is>
          <t>DashScope Seedance / Seedance API</t>
        </is>
      </c>
      <c r="B6" s="6" t="inlineStr">
        <is>
          <t>Video clip generation (monster cost)</t>
        </is>
      </c>
      <c r="C6" s="6" t="inlineStr">
        <is>
          <t>SEEDANCE_API_KEY or DashScope</t>
        </is>
      </c>
      <c r="D6" s="6" t="inlineStr">
        <is>
          <t>Per-clip / per-second</t>
        </is>
      </c>
      <c r="E6" s="19" t="n">
        <v>0</v>
      </c>
      <c r="F6" s="6" t="inlineStr">
        <is>
          <t>Clips × duration × res</t>
        </is>
      </c>
      <c r="G6" s="6" t="inlineStr">
        <is>
          <t>Yes for real video</t>
        </is>
      </c>
      <c r="H6" s="6" t="inlineStr">
        <is>
          <t>~$0.30/5s clip @ 720p — Captain</t>
        </is>
      </c>
    </row>
    <row r="7">
      <c r="A7" s="6" t="inlineStr">
        <is>
          <t>Kling AI (optional)</t>
        </is>
      </c>
      <c r="B7" s="6" t="inlineStr">
        <is>
          <t>Video fallback</t>
        </is>
      </c>
      <c r="C7" s="6" t="inlineStr">
        <is>
          <t>KLING_API_KEY</t>
        </is>
      </c>
      <c r="D7" s="6" t="inlineStr">
        <is>
          <t>Pay-as-you-go</t>
        </is>
      </c>
      <c r="E7" s="19" t="n">
        <v>0</v>
      </c>
      <c r="F7" s="6" t="inlineStr">
        <is>
          <t>Clips</t>
        </is>
      </c>
      <c r="G7" s="6" t="inlineStr">
        <is>
          <t>Optional</t>
        </is>
      </c>
      <c r="H7" s="6" t="inlineStr">
        <is>
          <t>Tier C</t>
        </is>
      </c>
    </row>
    <row r="8">
      <c r="A8" s="6" t="inlineStr">
        <is>
          <t>Google Veo (optional)</t>
        </is>
      </c>
      <c r="B8" s="6" t="inlineStr">
        <is>
          <t>Premium video path</t>
        </is>
      </c>
      <c r="C8" s="6" t="inlineStr">
        <is>
          <t>VEO_API_KEY / GOOGLE_API_KEY</t>
        </is>
      </c>
      <c r="D8" s="6" t="inlineStr">
        <is>
          <t>Pay-as-you-go</t>
        </is>
      </c>
      <c r="E8" s="19" t="n">
        <v>0</v>
      </c>
      <c r="F8" s="6" t="inlineStr">
        <is>
          <t>Clips</t>
        </is>
      </c>
      <c r="G8" s="6" t="inlineStr">
        <is>
          <t>Optional / Storm Pro+</t>
        </is>
      </c>
      <c r="H8" s="6" t="inlineStr">
        <is>
          <t>Premium path only</t>
        </is>
      </c>
    </row>
    <row r="9">
      <c r="A9" s="6" t="inlineStr">
        <is>
          <t>ElevenLabs (optional)</t>
        </is>
      </c>
      <c r="B9" s="6" t="inlineStr">
        <is>
          <t>Voice clone · TTS under Sound Studio</t>
        </is>
      </c>
      <c r="C9" s="6" t="inlineStr">
        <is>
          <t>ELEVENLABS_API_KEY · Creator/Pro</t>
        </is>
      </c>
      <c r="D9" s="6" t="inlineStr">
        <is>
          <t>Chars / seats</t>
        </is>
      </c>
      <c r="E9" s="19" t="n">
        <v>22</v>
      </c>
      <c r="F9" s="6" t="inlineStr">
        <is>
          <t>Characters spoken</t>
        </is>
      </c>
      <c r="G9" s="6" t="inlineStr">
        <is>
          <t>Optional</t>
        </is>
      </c>
      <c r="H9" s="6" t="inlineStr">
        <is>
          <t>~$0.18/1k chars; Sound Studio owns surface</t>
        </is>
      </c>
    </row>
    <row r="10">
      <c r="A10" s="6" t="inlineStr">
        <is>
          <t>Supabase</t>
        </is>
      </c>
      <c r="B10" s="6" t="inlineStr">
        <is>
          <t>Auth + Postgres</t>
        </is>
      </c>
      <c r="C10" s="6" t="inlineStr">
        <is>
          <t>SUPABASE_* · Pro plan @ 1k users</t>
        </is>
      </c>
      <c r="D10" s="6" t="inlineStr">
        <is>
          <t>Subscription</t>
        </is>
      </c>
      <c r="E10" s="19" t="n">
        <v>25</v>
      </c>
      <c r="F10" s="6" t="inlineStr">
        <is>
          <t>MAU / DB / storage</t>
        </is>
      </c>
      <c r="G10" s="6" t="inlineStr">
        <is>
          <t>Yes</t>
        </is>
      </c>
      <c r="H10" s="6" t="inlineStr">
        <is>
          <t>Upgrade off Free before ~1k users</t>
        </is>
      </c>
    </row>
    <row r="11">
      <c r="A11" s="6" t="inlineStr">
        <is>
          <t>Google OAuth</t>
        </is>
      </c>
      <c r="B11" s="6" t="inlineStr">
        <is>
          <t>Gmail sign-in</t>
        </is>
      </c>
      <c r="C11" s="6" t="inlineStr">
        <is>
          <t>GOOGLE_CLIENT_ID</t>
        </is>
      </c>
      <c r="D11" s="6" t="inlineStr">
        <is>
          <t>Free</t>
        </is>
      </c>
      <c r="E11" s="19" t="n">
        <v>0</v>
      </c>
      <c r="F11" s="6" t="inlineStr">
        <is>
          <t>—</t>
        </is>
      </c>
      <c r="G11" s="6" t="inlineStr">
        <is>
          <t>Yes</t>
        </is>
      </c>
      <c r="H11" s="6" t="inlineStr">
        <is>
          <t>Configured in Supabase Auth</t>
        </is>
      </c>
    </row>
    <row r="12">
      <c r="A12" s="6" t="inlineStr">
        <is>
          <t>Stripe</t>
        </is>
      </c>
      <c r="B12" s="6" t="inlineStr">
        <is>
          <t>Subscriptions + RTC packs + webhook</t>
        </is>
      </c>
      <c r="C12" s="6" t="inlineStr">
        <is>
          <t>STRIPE_SECRET_KEY sk_live_/sk_test_</t>
        </is>
      </c>
      <c r="D12" s="6" t="inlineStr">
        <is>
          <t>% + fixed / txn</t>
        </is>
      </c>
      <c r="E12" s="19" t="n">
        <v>0</v>
      </c>
      <c r="F12" s="6" t="inlineStr">
        <is>
          <t>2.9% + $0.30 typical</t>
        </is>
      </c>
      <c r="G12" s="6" t="inlineStr">
        <is>
          <t>Yes</t>
        </is>
      </c>
      <c r="H12" s="6" t="inlineStr">
        <is>
          <t>Basic $49 · Premium $99 · Pro $199</t>
        </is>
      </c>
    </row>
    <row r="13">
      <c r="A13" s="6" t="inlineStr">
        <is>
          <t>Cloudflare R2 (or AWS S3)</t>
        </is>
      </c>
      <c r="B13" s="6" t="inlineStr">
        <is>
          <t>Object storage for masters / uploads</t>
        </is>
      </c>
      <c r="C13" s="6" t="inlineStr">
        <is>
          <t>S3_* / R2_*</t>
        </is>
      </c>
      <c r="D13" s="6" t="inlineStr">
        <is>
          <t>Storage + egress</t>
        </is>
      </c>
      <c r="E13" s="19" t="n">
        <v>5</v>
      </c>
      <c r="F13" s="6" t="inlineStr">
        <is>
          <t>GB stored / egress</t>
        </is>
      </c>
      <c r="G13" s="6" t="inlineStr">
        <is>
          <t>Yes @ scale</t>
        </is>
      </c>
      <c r="H13" s="6" t="inlineStr">
        <is>
          <t>Replace MinIO staging</t>
        </is>
      </c>
    </row>
    <row r="14">
      <c r="A14" s="6" t="inlineStr">
        <is>
          <t>IONOS VPS</t>
        </is>
      </c>
      <c r="B14" s="6" t="inlineStr">
        <is>
          <t>API · Worker · Web · Redis · Ollama</t>
        </is>
      </c>
      <c r="C14" s="6" t="inlineStr">
        <is>
          <t>Host 87.106… ports 3017/4017</t>
        </is>
      </c>
      <c r="D14" s="6" t="inlineStr">
        <is>
          <t>VPS monthly</t>
        </is>
      </c>
      <c r="E14" s="19" t="n">
        <v>40</v>
      </c>
      <c r="F14" s="6" t="inlineStr">
        <is>
          <t>CPU hours / concurrency</t>
        </is>
      </c>
      <c r="G14" s="6" t="inlineStr">
        <is>
          <t>Yes</t>
        </is>
      </c>
      <c r="H14" s="6" t="inlineStr">
        <is>
          <t>WORKER_CONCURRENCY≥8</t>
        </is>
      </c>
    </row>
    <row r="15">
      <c r="A15" s="6" t="inlineStr">
        <is>
          <t>Redis (on VPS)</t>
        </is>
      </c>
      <c r="B15" s="6" t="inlineStr">
        <is>
          <t>BullMQ queues db 17</t>
        </is>
      </c>
      <c r="C15" s="6" t="inlineStr">
        <is>
          <t>REDIS_URL</t>
        </is>
      </c>
      <c r="D15" s="6" t="inlineStr">
        <is>
          <t>Included in VPS</t>
        </is>
      </c>
      <c r="E15" s="19" t="n">
        <v>0</v>
      </c>
      <c r="F15" s="6" t="inlineStr">
        <is>
          <t>Jobs</t>
        </is>
      </c>
      <c r="G15" s="6" t="inlineStr">
        <is>
          <t>Yes</t>
        </is>
      </c>
      <c r="H15" s="6" t="inlineStr">
        <is>
          <t>BULLMQ_PREFIX=reelstorm</t>
        </is>
      </c>
    </row>
    <row r="16">
      <c r="A16" s="6" t="inlineStr">
        <is>
          <t>Domain + SSL</t>
        </is>
      </c>
      <c r="B16" s="6" t="inlineStr">
        <is>
          <t>reelstorm.uk · app · api</t>
        </is>
      </c>
      <c r="C16" s="6" t="inlineStr">
        <is>
          <t>DNS / certbot</t>
        </is>
      </c>
      <c r="D16" s="6" t="inlineStr">
        <is>
          <t>Domain yearly amortized</t>
        </is>
      </c>
      <c r="E16" s="19" t="n">
        <v>2</v>
      </c>
      <c r="F16" s="6" t="inlineStr">
        <is>
          <t>—</t>
        </is>
      </c>
      <c r="G16" s="6" t="inlineStr">
        <is>
          <t>Yes</t>
        </is>
      </c>
      <c r="H16" s="6" t="inlineStr">
        <is>
          <t>Nginx multi-tenant safe</t>
        </is>
      </c>
    </row>
    <row r="17">
      <c r="A17" s="6" t="inlineStr">
        <is>
          <t>Ollama (local)</t>
        </is>
      </c>
      <c r="B17" s="6" t="inlineStr">
        <is>
          <t>LLM soft-launch fallback</t>
        </is>
      </c>
      <c r="C17" s="6" t="inlineStr">
        <is>
          <t>GUIDE_USE_OLLAMA=1</t>
        </is>
      </c>
      <c r="D17" s="6" t="inlineStr">
        <is>
          <t>Compute on VPS</t>
        </is>
      </c>
      <c r="E17" s="19" t="n">
        <v>0</v>
      </c>
      <c r="F17" s="6" t="inlineStr">
        <is>
          <t>CPU</t>
        </is>
      </c>
      <c r="G17" s="6" t="inlineStr">
        <is>
          <t>Soft launch</t>
        </is>
      </c>
      <c r="H17" s="6" t="inlineStr">
        <is>
          <t>qwen2.5:1.5b installed</t>
        </is>
      </c>
    </row>
    <row r="18">
      <c r="A18" s="6" t="inlineStr">
        <is>
          <t>ffmpeg / yt-dlp</t>
        </is>
      </c>
      <c r="B18" s="6" t="inlineStr">
        <is>
          <t>Analyze · split · merge · URL extract</t>
        </is>
      </c>
      <c r="C18" s="6" t="inlineStr">
        <is>
          <t>System binaries</t>
        </is>
      </c>
      <c r="D18" s="6" t="inlineStr">
        <is>
          <t>Included</t>
        </is>
      </c>
      <c r="E18" s="19" t="n">
        <v>0</v>
      </c>
      <c r="F18" s="6" t="inlineStr">
        <is>
          <t>CPU / disk</t>
        </is>
      </c>
      <c r="G18" s="6" t="inlineStr">
        <is>
          <t>Yes</t>
        </is>
      </c>
      <c r="H18" s="6" t="inlineStr">
        <is>
          <t>≥50 GiB upload volume</t>
        </is>
      </c>
    </row>
    <row r="20">
      <c r="A20" s="17" t="inlineStr">
        <is>
          <t>TOTAL fixed platform $/mo</t>
        </is>
      </c>
      <c r="E20" s="8">
        <f>SUM(E5:E18)</f>
        <v/>
      </c>
    </row>
    <row r="22">
      <c r="A22" s="3" t="inlineStr">
        <is>
          <t>VARIABLE COGS (not in fixed total)</t>
        </is>
      </c>
    </row>
    <row r="23">
      <c r="A23" s="18" t="inlineStr">
        <is>
          <t>Primary variable spend = Seedance/Kling video clips + optional ElevenLabs chars + R2 egress. Modeled per set on Assumptions &amp; Tier P&amp;L sheets.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>
      <c r="A1" s="1" t="inlineStr">
        <is>
          <t>TIER REVENUE vs EXPENDITURE (per subscriber / month)</t>
        </is>
      </c>
    </row>
    <row r="2">
      <c r="A2" s="10" t="inlineStr">
        <is>
          <t>Cost uses Assumptions derived set cost × avg utilization. Premium mixes 720p/1080p via mix_premium_1080.</t>
        </is>
      </c>
    </row>
    <row r="4">
      <c r="A4" s="5" t="inlineStr">
        <is>
          <t>Tier</t>
        </is>
      </c>
      <c r="B4" s="5" t="inlineStr">
        <is>
          <t>Price $/mo</t>
        </is>
      </c>
      <c r="C4" s="5" t="inlineStr">
        <is>
          <t>Sets incl.</t>
        </is>
      </c>
      <c r="D4" s="5" t="inlineStr">
        <is>
          <t>RTC incl.</t>
        </is>
      </c>
      <c r="E4" s="5" t="inlineStr">
        <is>
          <t>Max res</t>
        </is>
      </c>
      <c r="F4" s="5" t="inlineStr">
        <is>
          <t>Avg use %</t>
        </is>
      </c>
      <c r="G4" s="5" t="inlineStr">
        <is>
          <t>Sets used (avg)</t>
        </is>
      </c>
      <c r="H4" s="5" t="inlineStr">
        <is>
          <t>COGS $/sub</t>
        </is>
      </c>
      <c r="I4" s="5" t="inlineStr">
        <is>
          <t>Gross margin $</t>
        </is>
      </c>
      <c r="J4" s="5" t="inlineStr">
        <is>
          <t>Gross margin %</t>
        </is>
      </c>
      <c r="K4" s="5" t="inlineStr">
        <is>
          <t>Target</t>
        </is>
      </c>
    </row>
    <row r="5">
      <c r="A5" s="20" t="inlineStr">
        <is>
          <t>Free Test</t>
        </is>
      </c>
      <c r="B5" s="21" t="n">
        <v>0</v>
      </c>
      <c r="C5" s="22" t="n">
        <v>0</v>
      </c>
      <c r="D5" s="22" t="n">
        <v>1</v>
      </c>
      <c r="E5" s="20" t="inlineStr">
        <is>
          <t>480p</t>
        </is>
      </c>
      <c r="F5" s="23" t="n">
        <v>1</v>
      </c>
      <c r="G5" s="24" t="n">
        <v>0.2</v>
      </c>
      <c r="H5" s="25">
        <f>Assumptions!$B$31*D5</f>
        <v/>
      </c>
      <c r="I5" s="25">
        <f>B5-H5</f>
        <v/>
      </c>
      <c r="J5" s="26">
        <f>IF(B5=0,"n/a CAC",I5/B5)</f>
        <v/>
      </c>
      <c r="K5" s="20" t="inlineStr">
        <is>
          <t>Hook / FOMO</t>
        </is>
      </c>
    </row>
    <row r="6">
      <c r="A6" s="20" t="inlineStr">
        <is>
          <t>Basic</t>
        </is>
      </c>
      <c r="B6" s="21" t="n">
        <v>49</v>
      </c>
      <c r="C6" s="22" t="n">
        <v>3</v>
      </c>
      <c r="D6" s="22" t="n">
        <v>15</v>
      </c>
      <c r="E6" s="20" t="inlineStr">
        <is>
          <t>720p only</t>
        </is>
      </c>
      <c r="F6" s="27">
        <f>Assumptions!B20</f>
        <v/>
      </c>
      <c r="G6" s="24">
        <f>C6*F6</f>
        <v/>
      </c>
      <c r="H6" s="25">
        <f>Assumptions!$B$30*G6</f>
        <v/>
      </c>
      <c r="I6" s="25">
        <f>B6-H6</f>
        <v/>
      </c>
      <c r="J6" s="28">
        <f>IF(B6=0,0,I6/B6)</f>
        <v/>
      </c>
      <c r="K6" s="20" t="inlineStr">
        <is>
          <t>Ad shops · testers</t>
        </is>
      </c>
    </row>
    <row r="7">
      <c r="A7" s="20" t="inlineStr">
        <is>
          <t>Premium ★</t>
        </is>
      </c>
      <c r="B7" s="21" t="n">
        <v>99</v>
      </c>
      <c r="C7" s="22" t="n">
        <v>5</v>
      </c>
      <c r="D7" s="22" t="n">
        <v>25</v>
      </c>
      <c r="E7" s="20" t="inlineStr">
        <is>
          <t>1080p unlock</t>
        </is>
      </c>
      <c r="F7" s="27">
        <f>Assumptions!B21</f>
        <v/>
      </c>
      <c r="G7" s="24">
        <f>C7*F7</f>
        <v/>
      </c>
      <c r="H7" s="25">
        <f>G7*((1-Assumptions!$B$24)*Assumptions!$B$30+Assumptions!$B$24*Assumptions!$B$32)</f>
        <v/>
      </c>
      <c r="I7" s="25">
        <f>B7-H7</f>
        <v/>
      </c>
      <c r="J7" s="28">
        <f>IF(B7=0,0,I7/B7)</f>
        <v/>
      </c>
      <c r="K7" s="20" t="inlineStr">
        <is>
          <t>YouTuber hero</t>
        </is>
      </c>
    </row>
    <row r="8">
      <c r="A8" s="20" t="inlineStr">
        <is>
          <t>Premium Pro</t>
        </is>
      </c>
      <c r="B8" s="21" t="n">
        <v>199</v>
      </c>
      <c r="C8" s="22" t="n">
        <v>10</v>
      </c>
      <c r="D8" s="22" t="n">
        <v>50</v>
      </c>
      <c r="E8" s="20" t="inlineStr">
        <is>
          <t>1080p native</t>
        </is>
      </c>
      <c r="F8" s="27">
        <f>Assumptions!B22</f>
        <v/>
      </c>
      <c r="G8" s="24">
        <f>C8*F8</f>
        <v/>
      </c>
      <c r="H8" s="25">
        <f>G8*Assumptions!$B$32</f>
        <v/>
      </c>
      <c r="I8" s="25">
        <f>B8-H8</f>
        <v/>
      </c>
      <c r="J8" s="28">
        <f>IF(B8=0,0,I8/B8)</f>
        <v/>
      </c>
      <c r="K8" s="20" t="inlineStr">
        <is>
          <t>Artists · ads · DNA</t>
        </is>
      </c>
    </row>
    <row r="9">
      <c r="A9" s="20" t="inlineStr">
        <is>
          <t>Network (WL)</t>
        </is>
      </c>
      <c r="B9" s="21" t="n">
        <v>0</v>
      </c>
      <c r="C9" s="22" t="n">
        <v>40</v>
      </c>
      <c r="D9" s="22" t="n">
        <v>200</v>
      </c>
      <c r="E9" s="20" t="inlineStr">
        <is>
          <t>1080p</t>
        </is>
      </c>
      <c r="F9" s="23" t="n">
        <v>0.5</v>
      </c>
      <c r="G9" s="24">
        <f>C9*F9</f>
        <v/>
      </c>
      <c r="H9" s="25">
        <f>G9*Assumptions!$B$30</f>
        <v/>
      </c>
      <c r="I9" s="25">
        <f>B9-H9</f>
        <v/>
      </c>
      <c r="J9" s="26">
        <f>IF(B9=0,"Custom quote",I9/B9)</f>
        <v/>
      </c>
      <c r="K9" s="20" t="inlineStr">
        <is>
          <t>Academies B2B</t>
        </is>
      </c>
    </row>
    <row r="11">
      <c r="A11" s="3" t="inlineStr">
        <is>
          <t>FULL-USE STRESS (100% RTC burn — worst month)</t>
        </is>
      </c>
    </row>
    <row r="12">
      <c r="A12" s="5" t="inlineStr">
        <is>
          <t>Tier</t>
        </is>
      </c>
      <c r="B12" s="5" t="inlineStr">
        <is>
          <t>COGS if 100% use</t>
        </is>
      </c>
      <c r="C12" s="5" t="inlineStr">
        <is>
          <t>Margin $</t>
        </is>
      </c>
      <c r="D12" s="5" t="inlineStr">
        <is>
          <t>Verdict</t>
        </is>
      </c>
    </row>
    <row r="13">
      <c r="A13" t="inlineStr">
        <is>
          <t>Basic 720p</t>
        </is>
      </c>
      <c r="B13" s="16">
        <f>3*Assumptions!$B$30</f>
        <v/>
      </c>
      <c r="C13" s="16">
        <f>49-B13</f>
        <v/>
      </c>
      <c r="D13">
        <f>IF(C13&gt;0,"OK lock 720p","BLEED")</f>
        <v/>
      </c>
    </row>
    <row r="14">
      <c r="A14" t="inlineStr">
        <is>
          <t>Premium all 1080p</t>
        </is>
      </c>
      <c r="B14" s="16">
        <f>5*Assumptions!$B$32</f>
        <v/>
      </c>
      <c r="C14" s="16">
        <f>99-B14</f>
        <v/>
      </c>
      <c r="D14">
        <f>IF(C14&gt;=0,"OK","BLEED — soft-cap 1080p or boost pack")</f>
        <v/>
      </c>
    </row>
    <row r="15">
      <c r="A15" t="inlineStr">
        <is>
          <t>Premium Pro all 1080p</t>
        </is>
      </c>
      <c r="B15" s="16">
        <f>10*Assumptions!$B$32</f>
        <v/>
      </c>
      <c r="C15" s="16">
        <f>199-B15</f>
        <v/>
      </c>
      <c r="D15">
        <f>IF(C15&gt;=0,"OK","BLEED")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OVERAGE PACKS — REVENUE &amp; MARGIN</t>
        </is>
      </c>
    </row>
    <row r="3">
      <c r="A3" s="5" t="inlineStr">
        <is>
          <t>Pack</t>
        </is>
      </c>
      <c r="B3" s="5" t="inlineStr">
        <is>
          <t>RTC</t>
        </is>
      </c>
      <c r="C3" s="5" t="inlineStr">
        <is>
          <t>Sets equiv</t>
        </is>
      </c>
      <c r="D3" s="5" t="inlineStr">
        <is>
          <t>Price $</t>
        </is>
      </c>
      <c r="E3" s="5" t="inlineStr">
        <is>
          <t>COGS @720p</t>
        </is>
      </c>
      <c r="F3" s="5" t="inlineStr">
        <is>
          <t>COGS @1080p</t>
        </is>
      </c>
      <c r="G3" s="5" t="inlineStr">
        <is>
          <t>Margin 720p</t>
        </is>
      </c>
      <c r="H3" s="5" t="inlineStr">
        <is>
          <t>Margin 1080p</t>
        </is>
      </c>
      <c r="I3" s="5" t="inlineStr">
        <is>
          <t>vs list $7.99</t>
        </is>
      </c>
    </row>
    <row r="4">
      <c r="A4" s="22" t="inlineStr">
        <is>
          <t>pack_10</t>
        </is>
      </c>
      <c r="B4" s="22" t="n">
        <v>10</v>
      </c>
      <c r="C4" s="29">
        <f>B4/Assumptions!$B$17</f>
        <v/>
      </c>
      <c r="D4" s="19" t="n">
        <v>69</v>
      </c>
      <c r="E4" s="25">
        <f>C4*Assumptions!$B$30</f>
        <v/>
      </c>
      <c r="F4" s="25">
        <f>C4*Assumptions!$B$32</f>
        <v/>
      </c>
      <c r="G4" s="25">
        <f>D4-E4</f>
        <v/>
      </c>
      <c r="H4" s="25">
        <f>D4-F4</f>
        <v/>
      </c>
      <c r="I4" s="25">
        <f>D4-(B4*Assumptions!$B$18)</f>
        <v/>
      </c>
    </row>
    <row r="5">
      <c r="A5" s="22" t="inlineStr">
        <is>
          <t>pack_25</t>
        </is>
      </c>
      <c r="B5" s="22" t="n">
        <v>25</v>
      </c>
      <c r="C5" s="29">
        <f>B5/Assumptions!$B$17</f>
        <v/>
      </c>
      <c r="D5" s="19" t="n">
        <v>149</v>
      </c>
      <c r="E5" s="25">
        <f>C5*Assumptions!$B$30</f>
        <v/>
      </c>
      <c r="F5" s="25">
        <f>C5*Assumptions!$B$32</f>
        <v/>
      </c>
      <c r="G5" s="25">
        <f>D5-E5</f>
        <v/>
      </c>
      <c r="H5" s="25">
        <f>D5-F5</f>
        <v/>
      </c>
      <c r="I5" s="25">
        <f>D5-(B5*Assumptions!$B$18)</f>
        <v/>
      </c>
    </row>
    <row r="6">
      <c r="A6" s="22" t="inlineStr">
        <is>
          <t>pack_50</t>
        </is>
      </c>
      <c r="B6" s="22" t="n">
        <v>50</v>
      </c>
      <c r="C6" s="29">
        <f>B6/Assumptions!$B$17</f>
        <v/>
      </c>
      <c r="D6" s="19" t="n">
        <v>269</v>
      </c>
      <c r="E6" s="25">
        <f>C6*Assumptions!$B$30</f>
        <v/>
      </c>
      <c r="F6" s="25">
        <f>C6*Assumptions!$B$32</f>
        <v/>
      </c>
      <c r="G6" s="25">
        <f>D6-E6</f>
        <v/>
      </c>
      <c r="H6" s="25">
        <f>D6-F6</f>
        <v/>
      </c>
      <c r="I6" s="25">
        <f>D6-(B6*Assumptions!$B$18)</f>
        <v/>
      </c>
    </row>
    <row r="8">
      <c r="A8" s="30" t="inlineStr">
        <is>
          <t>Packs beat list price for buyer but still clear margin if Cost Saver / 720p. Viral months = pack revenue.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4" customWidth="1" min="5" max="5"/>
    <col width="45" customWidth="1" min="6" max="6"/>
  </cols>
  <sheetData>
    <row r="1">
      <c r="A1" s="1" t="inlineStr">
        <is>
          <t>MONTHLY PORTFOLIO — SUBSCRIBERS × TIER</t>
        </is>
      </c>
    </row>
    <row r="2">
      <c r="A2" s="10" t="inlineStr">
        <is>
          <t>Edit yellow subscriber counts. Revenue/COGS/margin formulas pull Tier P&amp;L unit economics.</t>
        </is>
      </c>
    </row>
    <row r="4">
      <c r="A4" s="5" t="inlineStr">
        <is>
          <t>Tier</t>
        </is>
      </c>
      <c r="B4" s="5" t="inlineStr">
        <is>
          <t>Subscribers</t>
        </is>
      </c>
      <c r="C4" s="5" t="inlineStr">
        <is>
          <t>MRR $</t>
        </is>
      </c>
      <c r="D4" s="5" t="inlineStr">
        <is>
          <t>COGS $</t>
        </is>
      </c>
      <c r="E4" s="5" t="inlineStr">
        <is>
          <t>Gross profit $</t>
        </is>
      </c>
      <c r="F4" s="5" t="inlineStr">
        <is>
          <t>Notes</t>
        </is>
      </c>
    </row>
    <row r="5">
      <c r="A5" s="6" t="inlineStr">
        <is>
          <t>Free Test</t>
        </is>
      </c>
      <c r="B5" s="31" t="n">
        <v>200</v>
      </c>
      <c r="C5" s="32">
        <f>B5*='Tier P&amp;L'!B5</f>
        <v/>
      </c>
      <c r="D5" s="32">
        <f>B5*='Tier P&amp;L'!H5</f>
        <v/>
      </c>
      <c r="E5" s="25">
        <f>C5-D5</f>
        <v/>
      </c>
      <c r="F5" s="33" t="inlineStr">
        <is>
          <t>CAC drain; conversion lever Assumptions!B23</t>
        </is>
      </c>
    </row>
    <row r="6">
      <c r="A6" s="6" t="inlineStr">
        <is>
          <t>Basic</t>
        </is>
      </c>
      <c r="B6" s="31" t="n">
        <v>40</v>
      </c>
      <c r="C6" s="32">
        <f>B6*='Tier P&amp;L'!B6</f>
        <v/>
      </c>
      <c r="D6" s="32">
        <f>B6*='Tier P&amp;L'!H6</f>
        <v/>
      </c>
      <c r="E6" s="25">
        <f>C6-D6</f>
        <v/>
      </c>
      <c r="F6" s="33" t="inlineStr"/>
    </row>
    <row r="7">
      <c r="A7" s="6" t="inlineStr">
        <is>
          <t>Premium ★</t>
        </is>
      </c>
      <c r="B7" s="31" t="n">
        <v>25</v>
      </c>
      <c r="C7" s="32">
        <f>B7*='Tier P&amp;L'!B7</f>
        <v/>
      </c>
      <c r="D7" s="32">
        <f>B7*='Tier P&amp;L'!H7</f>
        <v/>
      </c>
      <c r="E7" s="25">
        <f>C7-D7</f>
        <v/>
      </c>
      <c r="F7" s="33" t="inlineStr">
        <is>
          <t>Hero volume</t>
        </is>
      </c>
    </row>
    <row r="8">
      <c r="A8" s="6" t="inlineStr">
        <is>
          <t>Premium Pro</t>
        </is>
      </c>
      <c r="B8" s="31" t="n">
        <v>8</v>
      </c>
      <c r="C8" s="32">
        <f>B8*='Tier P&amp;L'!B8</f>
        <v/>
      </c>
      <c r="D8" s="32">
        <f>B8*='Tier P&amp;L'!H8</f>
        <v/>
      </c>
      <c r="E8" s="25">
        <f>C8-D8</f>
        <v/>
      </c>
      <c r="F8" s="33" t="inlineStr"/>
    </row>
    <row r="10">
      <c r="A10" s="17" t="inlineStr">
        <is>
          <t>Subscription totals</t>
        </is>
      </c>
      <c r="B10" s="17">
        <f>SUM(B5:B8)</f>
        <v/>
      </c>
      <c r="C10" s="8">
        <f>SUM(C5:C8)</f>
        <v/>
      </c>
      <c r="D10" s="34">
        <f>SUM(D5:D8)</f>
        <v/>
      </c>
      <c r="E10" s="34">
        <f>SUM(E5:E8)</f>
        <v/>
      </c>
    </row>
    <row r="12">
      <c r="A12" t="inlineStr">
        <is>
          <t>Add: RTC pack sales (estimate)</t>
        </is>
      </c>
      <c r="B12" s="35" t="n">
        <v>6</v>
      </c>
      <c r="C12" s="36" t="n">
        <v>149</v>
      </c>
      <c r="D12" s="16">
        <f>B12*C12</f>
        <v/>
      </c>
      <c r="E12" t="inlineStr">
        <is>
          <t>Pack units × avg pack price (edit)</t>
        </is>
      </c>
    </row>
    <row r="13">
      <c r="A13" t="inlineStr">
        <is>
          <t>Pack COGS estimate (720p)</t>
        </is>
      </c>
      <c r="D13" s="16">
        <f>B12*(25/Assumptions!$B$17)*Assumptions!$B$30</f>
        <v/>
      </c>
    </row>
    <row r="15">
      <c r="A15" t="inlineStr">
        <is>
          <t>Fixed platform opex</t>
        </is>
      </c>
      <c r="D15" s="4">
        <f>'API Subscriptions'!E20</f>
        <v/>
      </c>
    </row>
    <row r="17">
      <c r="A17" s="9" t="inlineStr">
        <is>
          <t>NET MONTHLY (subs GP + pack GP − fixed opex)</t>
        </is>
      </c>
      <c r="D17" s="8">
        <f>E10+(D12-D13)-D15</f>
        <v/>
      </c>
    </row>
    <row r="19">
      <c r="A19" t="inlineStr">
        <is>
          <t>Free CAC burn</t>
        </is>
      </c>
      <c r="D19" s="16">
        <f>B5*'Tier P&amp;L'!H5</f>
        <v/>
      </c>
    </row>
    <row r="20">
      <c r="A20" t="inlineStr">
        <is>
          <t>Implied Basic from Free (at CVR)</t>
        </is>
      </c>
      <c r="D20" s="37">
        <f>B5*Assumptions!B23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2026-10-06T10:02:56Z</dcterms:created>
  <dcterms:modified xsi:type="dcterms:W3CDTF">2026-10-06T10:02:56Z</dcterms:modified>
</cp:coreProperties>
</file>